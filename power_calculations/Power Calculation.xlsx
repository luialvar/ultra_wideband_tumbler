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40" windowHeight="17850" activeTab="1"/>
  </bookViews>
  <sheets>
    <sheet name="Components" sheetId="1" r:id="rId1"/>
    <sheet name="Solar Panel Sizing" sheetId="2" r:id="rId2"/>
  </sheets>
  <calcPr calcId="144525"/>
</workbook>
</file>

<file path=xl/sharedStrings.xml><?xml version="1.0" encoding="utf-8"?>
<sst xmlns="http://schemas.openxmlformats.org/spreadsheetml/2006/main" count="81" uniqueCount="55">
  <si>
    <t>Part (http://galileo2.informatik.uni-wuerzburg.de/wiki/images/b/b2/BOM_skith_STM_v2.pdf)</t>
  </si>
  <si>
    <t>Link</t>
  </si>
  <si>
    <t>Power [W]</t>
  </si>
  <si>
    <t>Notes</t>
  </si>
  <si>
    <t xml:space="preserve">DIODE-DO214AC </t>
  </si>
  <si>
    <t>approximation with zero</t>
  </si>
  <si>
    <t>WE-TPC-744025150_2828</t>
  </si>
  <si>
    <t>C-EUC0402</t>
  </si>
  <si>
    <t xml:space="preserve">R-EU_R0402 </t>
  </si>
  <si>
    <t xml:space="preserve">C-EUC0805 </t>
  </si>
  <si>
    <t>DIODE-SOD123</t>
  </si>
  <si>
    <t>R-EU_R0402</t>
  </si>
  <si>
    <t>DF12A-50DS-0.5V</t>
  </si>
  <si>
    <t>DF12D[XX]-50DP-0.5V</t>
  </si>
  <si>
    <t>DWM1000</t>
  </si>
  <si>
    <t>https://www.qorvo.com/products/d/da007948</t>
  </si>
  <si>
    <t xml:space="preserve">Taken from Tables 5 &amp; 6 assuming RX maximum and V_DD maximum. </t>
  </si>
  <si>
    <t>MCP16331</t>
  </si>
  <si>
    <t>https://www.microchip.com/en-us/product/MCP16331</t>
  </si>
  <si>
    <t>Regulator approximation with zero</t>
  </si>
  <si>
    <t>QC3CA16.0000F12B23M</t>
  </si>
  <si>
    <t>https://4donline.ihs.com/images/VipMasterIC/IC/QANT/QANT-S-A0010069860/QANT-S-A0010069860-1.pdf?hkey=6D3A4C79FDBF58556ACFDE234799DDF0</t>
  </si>
  <si>
    <t xml:space="preserve">SI2369DS-T1-GE3 </t>
  </si>
  <si>
    <t>https://www.vishay.com/docs/62865/si2369d.pdf</t>
  </si>
  <si>
    <t>MOSFET approximation with zero</t>
  </si>
  <si>
    <t>SM02B-GHS-TB</t>
  </si>
  <si>
    <t>https://www.mouser.de/datasheet/3/1070/1/eGH.pdf</t>
  </si>
  <si>
    <t>Connector approximation with zero</t>
  </si>
  <si>
    <t>SM08B-GHS-TB</t>
  </si>
  <si>
    <t>PCA82C250T</t>
  </si>
  <si>
    <t>https://www.nxp.com/docs/en/data-sheet/PCA82C250.pdf</t>
  </si>
  <si>
    <t xml:space="preserve">Taken from Table 8 in dominant conditions. </t>
  </si>
  <si>
    <t>STM32F407VGT6</t>
  </si>
  <si>
    <t>https://www.st.com/en/microcontrollers-microprocessors/stm32f407vg.html#st_description_sec-nav-tab</t>
  </si>
  <si>
    <t xml:space="preserve">Taken as the maximum V_DD and I_VDD, This value is probably very pessimistic.
</t>
  </si>
  <si>
    <t>LEDSML0603</t>
  </si>
  <si>
    <t>LED approximation with zero</t>
  </si>
  <si>
    <t>Total [W]</t>
  </si>
  <si>
    <t>Power Draw per Hour [Wh]</t>
  </si>
  <si>
    <t>Results:</t>
  </si>
  <si>
    <t>Total Energie Required per day w.o. losses [Wh]</t>
  </si>
  <si>
    <t>Total Energie Reqiured per day w. losses [Wh]</t>
  </si>
  <si>
    <t>Sun hours</t>
  </si>
  <si>
    <t>Approximated</t>
  </si>
  <si>
    <t>Total Batterie Required with losses</t>
  </si>
  <si>
    <t>Sun Energy per day [Wh/m^2]</t>
  </si>
  <si>
    <t>https://www.dwd.de/DE/leistungen/solarenergie/strahlungskarten_sum.html?nn=16102utm_source=Referral|utm_medium=TypeIn|page_title=Einstrahlungskartehttps://www.dwd.de/DE/leistungen/solarenergie/strahlungskarten_sum.html?nn=16102utm_source=Referral|utm_medium=TypeIn|page_title=Einstrahlungskarte</t>
  </si>
  <si>
    <t>Solar Panel Power [Wh/m^2 day]</t>
  </si>
  <si>
    <t>Panel Conversion Rate</t>
  </si>
  <si>
    <t>https://www.amazon.de/ECO-WORTHY-Solarpanel-Monokristallines-Solarmodul-Ladekabel/dp/B0CNGDC7MW?__mk_de_DE=%C3%85M%C3%85%C5%BD%C3%95%C3%91&amp;crid=1BHBVEK29IVWY&amp;dib=eyJ2IjoiMSJ9.bk_Eqq3bzqe411qUQh5gXmL2DMwGTpKenCOUbZ-0n3ArdKvnkqy-dNFcse2szxrgeNdWRlKv0JNzX9mkecTE1ekm4c0g5rJYISuxhzl-R2chzsk_6Lr0ae6jMZOz9ISZOFkES9MtlTOXTc_3jS0Sq3DNTWxN5yRBUCaG-0NQjf5sycIFbX5y-Kh49bnol--xrSoszHbS4HbFdzVVQQX56Qsk0hJOej1qSfBa2sJC6g4GGeu03hel706lXEx74OR1nVA_-jRCG_LtgC9Mv9f1Q6TWC631mXQatCAQrLn-RwU.0LnXbW32ue3HjWsHAkn8D_qt7ZQiS1uVzXZ_EKdDCok&amp;dib_tag=se&amp;keywords=solar%2Bpanel%2B100%2Bw&amp;qid=1777299822&amp;sprefix=solar%2Bpanel%2B100%2Bw%2Caps%2C137&amp;sr=8-5&amp;th=1</t>
  </si>
  <si>
    <t>Solar Panel Size [m^2]</t>
  </si>
  <si>
    <t>Battery Efficiency</t>
  </si>
  <si>
    <t>Guess</t>
  </si>
  <si>
    <t>Bus Efficiency</t>
  </si>
  <si>
    <t>Pointing Losses</t>
  </si>
</sst>
</file>

<file path=xl/styles.xml><?xml version="1.0" encoding="utf-8"?>
<styleSheet xmlns="http://schemas.openxmlformats.org/spreadsheetml/2006/main">
  <numFmts count="4">
    <numFmt numFmtId="176" formatCode="_-* #,##0.00\ &quot;€&quot;_-;\-* #,##0.00\ &quot;€&quot;_-;_-* \-??\ &quot;€&quot;_-;_-@_-"/>
    <numFmt numFmtId="41" formatCode="_-* #,##0_-;\-* #,##0_-;_-* &quot;-&quot;_-;_-@_-"/>
    <numFmt numFmtId="177" formatCode="_-* #,##0\ &quot;€&quot;_-;\-* #,##0\ &quot;€&quot;_-;_-* &quot;-&quot;\ &quot;€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6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12" fillId="7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48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wd.de/DE/leistungen/solarenergie/strahlungskarten_sum.html?nn=16102utm_source=Referral|utm_medium=TypeIn|page_title=Einstrahlungskartehttps://www.dwd.de/DE/leistungen/solarenergie/strahlungskarten_sum.html?nn=16102utm_source=Referral|utm_medium=TypeIn|page_title=Einstrahlungskar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C18" sqref="C18"/>
    </sheetView>
  </sheetViews>
  <sheetFormatPr defaultColWidth="9" defaultRowHeight="14.25" outlineLevelCol="3"/>
  <cols>
    <col min="1" max="1" width="24.375" customWidth="1"/>
    <col min="4" max="4" width="38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>
        <v>0</v>
      </c>
      <c r="D2" t="s">
        <v>5</v>
      </c>
    </row>
    <row r="3" spans="1:4">
      <c r="A3" t="s">
        <v>6</v>
      </c>
      <c r="C3">
        <v>0</v>
      </c>
      <c r="D3" t="s">
        <v>5</v>
      </c>
    </row>
    <row r="4" spans="1:4">
      <c r="A4" t="s">
        <v>7</v>
      </c>
      <c r="C4">
        <v>0</v>
      </c>
      <c r="D4" t="s">
        <v>5</v>
      </c>
    </row>
    <row r="5" spans="1:4">
      <c r="A5" t="s">
        <v>8</v>
      </c>
      <c r="C5">
        <v>0</v>
      </c>
      <c r="D5" t="s">
        <v>5</v>
      </c>
    </row>
    <row r="6" spans="1:4">
      <c r="A6" t="s">
        <v>9</v>
      </c>
      <c r="C6">
        <v>0</v>
      </c>
      <c r="D6" t="s">
        <v>5</v>
      </c>
    </row>
    <row r="7" spans="1:4">
      <c r="A7" t="s">
        <v>8</v>
      </c>
      <c r="C7">
        <v>0</v>
      </c>
      <c r="D7" t="s">
        <v>5</v>
      </c>
    </row>
    <row r="8" spans="1:4">
      <c r="A8" t="s">
        <v>10</v>
      </c>
      <c r="C8">
        <v>0</v>
      </c>
      <c r="D8" t="s">
        <v>5</v>
      </c>
    </row>
    <row r="9" spans="1:4">
      <c r="A9" t="s">
        <v>7</v>
      </c>
      <c r="C9">
        <v>0</v>
      </c>
      <c r="D9" t="s">
        <v>5</v>
      </c>
    </row>
    <row r="10" spans="1:4">
      <c r="A10" t="s">
        <v>7</v>
      </c>
      <c r="C10">
        <v>0</v>
      </c>
      <c r="D10" t="s">
        <v>5</v>
      </c>
    </row>
    <row r="11" spans="1:4">
      <c r="A11" t="s">
        <v>11</v>
      </c>
      <c r="C11">
        <v>0</v>
      </c>
      <c r="D11" t="s">
        <v>5</v>
      </c>
    </row>
    <row r="12" spans="1:4">
      <c r="A12" t="s">
        <v>11</v>
      </c>
      <c r="C12">
        <v>0</v>
      </c>
      <c r="D12" t="s">
        <v>5</v>
      </c>
    </row>
    <row r="13" spans="1:4">
      <c r="A13" t="s">
        <v>12</v>
      </c>
      <c r="C13">
        <v>0</v>
      </c>
      <c r="D13" t="s">
        <v>5</v>
      </c>
    </row>
    <row r="14" spans="1:4">
      <c r="A14" t="s">
        <v>13</v>
      </c>
      <c r="C14">
        <v>0</v>
      </c>
      <c r="D14" t="s">
        <v>5</v>
      </c>
    </row>
    <row r="15" spans="1:4">
      <c r="A15" t="s">
        <v>14</v>
      </c>
      <c r="B15" t="s">
        <v>15</v>
      </c>
      <c r="C15">
        <f>3.6*0.17</f>
        <v>0.612</v>
      </c>
      <c r="D15" t="s">
        <v>16</v>
      </c>
    </row>
    <row r="16" spans="1:4">
      <c r="A16" t="s">
        <v>17</v>
      </c>
      <c r="B16" t="s">
        <v>18</v>
      </c>
      <c r="C16">
        <v>0</v>
      </c>
      <c r="D16" t="s">
        <v>19</v>
      </c>
    </row>
    <row r="17" spans="1:3">
      <c r="A17" t="s">
        <v>20</v>
      </c>
      <c r="B17" t="s">
        <v>21</v>
      </c>
      <c r="C17">
        <v>0.0001</v>
      </c>
    </row>
    <row r="18" spans="1:4">
      <c r="A18" t="s">
        <v>22</v>
      </c>
      <c r="B18" t="s">
        <v>23</v>
      </c>
      <c r="C18">
        <v>0</v>
      </c>
      <c r="D18" t="s">
        <v>24</v>
      </c>
    </row>
    <row r="19" spans="1:4">
      <c r="A19" t="s">
        <v>25</v>
      </c>
      <c r="B19" t="s">
        <v>26</v>
      </c>
      <c r="C19">
        <v>0</v>
      </c>
      <c r="D19" t="s">
        <v>27</v>
      </c>
    </row>
    <row r="20" spans="1:4">
      <c r="A20" t="s">
        <v>28</v>
      </c>
      <c r="B20" t="s">
        <v>26</v>
      </c>
      <c r="C20">
        <v>0</v>
      </c>
      <c r="D20" t="s">
        <v>27</v>
      </c>
    </row>
    <row r="21" spans="1:4">
      <c r="A21" t="s">
        <v>29</v>
      </c>
      <c r="B21" t="s">
        <v>30</v>
      </c>
      <c r="C21">
        <f>5.5*0.07</f>
        <v>0.385</v>
      </c>
      <c r="D21" t="s">
        <v>31</v>
      </c>
    </row>
    <row r="22" ht="44" customHeight="1" spans="1:4">
      <c r="A22" t="s">
        <v>32</v>
      </c>
      <c r="B22" t="s">
        <v>33</v>
      </c>
      <c r="C22">
        <f>4*0.24</f>
        <v>0.96</v>
      </c>
      <c r="D22" s="2" t="s">
        <v>34</v>
      </c>
    </row>
    <row r="23" spans="1:4">
      <c r="A23" t="s">
        <v>35</v>
      </c>
      <c r="C23">
        <v>0</v>
      </c>
      <c r="D23" t="s">
        <v>36</v>
      </c>
    </row>
    <row r="24" spans="1:4">
      <c r="A24" t="s">
        <v>35</v>
      </c>
      <c r="C24">
        <v>0</v>
      </c>
      <c r="D24" t="s">
        <v>36</v>
      </c>
    </row>
    <row r="25" spans="1:4">
      <c r="A25" t="s">
        <v>35</v>
      </c>
      <c r="C25">
        <v>0</v>
      </c>
      <c r="D25" t="s">
        <v>36</v>
      </c>
    </row>
    <row r="26" spans="1:4">
      <c r="A26" t="s">
        <v>35</v>
      </c>
      <c r="C26">
        <v>0</v>
      </c>
      <c r="D26" t="s">
        <v>36</v>
      </c>
    </row>
    <row r="34" spans="2:3">
      <c r="B34" t="s">
        <v>37</v>
      </c>
      <c r="C34">
        <f>SUM(C2:C26)</f>
        <v>1.9571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G22" sqref="G22"/>
    </sheetView>
  </sheetViews>
  <sheetFormatPr defaultColWidth="9" defaultRowHeight="14.25" outlineLevelRow="7" outlineLevelCol="7"/>
  <cols>
    <col min="1" max="1" width="25.25" customWidth="1"/>
    <col min="2" max="2" width="12.625"/>
    <col min="3" max="3" width="26.75" customWidth="1"/>
    <col min="7" max="7" width="31.875" customWidth="1"/>
    <col min="8" max="8" width="12.625"/>
  </cols>
  <sheetData>
    <row r="1" spans="1:8">
      <c r="A1" t="s">
        <v>38</v>
      </c>
      <c r="B1">
        <v>2</v>
      </c>
      <c r="F1" t="s">
        <v>39</v>
      </c>
      <c r="G1" t="s">
        <v>40</v>
      </c>
      <c r="H1">
        <f>$B1*24</f>
        <v>48</v>
      </c>
    </row>
    <row r="2" spans="7:8">
      <c r="G2" t="s">
        <v>41</v>
      </c>
      <c r="H2">
        <f>$H1/($B6*$B7)</f>
        <v>59.2592592592593</v>
      </c>
    </row>
    <row r="3" spans="1:8">
      <c r="A3" t="s">
        <v>42</v>
      </c>
      <c r="B3">
        <f>9</f>
        <v>9</v>
      </c>
      <c r="C3" t="s">
        <v>43</v>
      </c>
      <c r="G3" t="s">
        <v>44</v>
      </c>
      <c r="H3">
        <f>(24-$B3)*$B1/($B6*$B7)</f>
        <v>37.037037037037</v>
      </c>
    </row>
    <row r="4" spans="1:8">
      <c r="A4" t="s">
        <v>45</v>
      </c>
      <c r="B4">
        <f>50*1000/30</f>
        <v>1666.66666666667</v>
      </c>
      <c r="C4" s="1" t="s">
        <v>46</v>
      </c>
      <c r="G4" t="s">
        <v>47</v>
      </c>
      <c r="H4">
        <f>$B4*$B5*(1-$B8)</f>
        <v>153.333333333333</v>
      </c>
    </row>
    <row r="5" spans="1:8">
      <c r="A5" t="s">
        <v>48</v>
      </c>
      <c r="B5">
        <v>0.23</v>
      </c>
      <c r="C5" t="s">
        <v>49</v>
      </c>
      <c r="G5" t="s">
        <v>50</v>
      </c>
      <c r="H5">
        <f>$H2/$H4</f>
        <v>0.386473429951691</v>
      </c>
    </row>
    <row r="6" spans="1:3">
      <c r="A6" t="s">
        <v>51</v>
      </c>
      <c r="B6">
        <v>0.9</v>
      </c>
      <c r="C6" t="s">
        <v>52</v>
      </c>
    </row>
    <row r="7" spans="1:3">
      <c r="A7" t="s">
        <v>53</v>
      </c>
      <c r="B7">
        <v>0.9</v>
      </c>
      <c r="C7" t="s">
        <v>52</v>
      </c>
    </row>
    <row r="8" spans="1:3">
      <c r="A8" t="s">
        <v>54</v>
      </c>
      <c r="B8">
        <v>0.6</v>
      </c>
      <c r="C8" t="s">
        <v>52</v>
      </c>
    </row>
  </sheetData>
  <hyperlinks>
    <hyperlink ref="C4" r:id="rId1" display="https://www.dwd.de/DE/leistungen/solarenergie/strahlungskarten_sum.html?nn=16102utm_source=Referral|utm_medium=TypeIn|page_title=Einstrahlungskartehttps://www.dwd.de/DE/leistungen/solarenergie/strahlungskarten_sum.html?nn=16102utm_source=Referral|utm_medium=TypeIn|page_title=Einstrahlungskart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Components</vt:lpstr>
      <vt:lpstr>Solar Panel Sizing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ken</cp:lastModifiedBy>
  <dcterms:created xsi:type="dcterms:W3CDTF">2026-04-27T15:09:54Z</dcterms:created>
  <dcterms:modified xsi:type="dcterms:W3CDTF">2026-04-27T16:32:05Z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